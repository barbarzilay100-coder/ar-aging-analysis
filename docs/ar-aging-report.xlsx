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Open Invoices" sheetId="2" state="visible" r:id="rId2"/>
  </sheets>
  <definedNames>
    <definedName name="AsOfDate">'Aging Report'!$B$2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67085"/>
      <sz val="9"/>
    </font>
    <font>
      <name val="Arial"/>
      <b val="1"/>
      <color rgb="002B3E63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B3E63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bottom style="thin">
        <color rgb="00D3DAE4"/>
      </bottom>
    </border>
    <border>
      <top style="medium">
        <color rgb="002B3E6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165" fontId="6" fillId="0" borderId="1" pivotButton="0" quotePrefix="0" xfId="0"/>
    <xf numFmtId="0" fontId="6" fillId="0" borderId="2" pivotButton="0" quotePrefix="0" xfId="0"/>
    <xf numFmtId="165" fontId="6" fillId="0" borderId="2" pivotButton="0" quotePrefix="0" xfId="0"/>
    <xf numFmtId="0" fontId="2" fillId="0" borderId="0" pivotButton="0" quotePrefix="0" xfId="0"/>
    <xf numFmtId="164" fontId="3" fillId="0" borderId="0" pivotButton="0" quotePrefix="0" xfId="0"/>
    <xf numFmtId="1" fontId="2" fillId="0" borderId="0" pivotButton="0" quotePrefix="0" xfId="0"/>
    <xf numFmtId="0" fontId="2" fillId="0" borderId="0" applyAlignment="1" pivotButton="0" quotePrefix="0" xfId="0">
      <alignment horizontal="center"/>
    </xf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3E63"/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AR Aging Report — outstanding advance by customer and days overdue</t>
        </is>
      </c>
    </row>
    <row r="2">
      <c r="A2" s="2" t="inlineStr">
        <is>
          <t>As of:</t>
        </is>
      </c>
      <c r="B2" s="3" t="n">
        <v>46219</v>
      </c>
    </row>
    <row r="3">
      <c r="A3" s="4" t="inlineStr">
        <is>
          <t>Aging report is a point-in-time cut: the demo ledger regenerates its dates relative to 'today', so this workbook is dated. All figures in ILS.</t>
        </is>
      </c>
    </row>
    <row r="4">
      <c r="A4" s="4" t="inlineStr">
        <is>
          <t>Blue = snapshot inputs (edit AsOfDate to re-age) · Black = live formulas — every pivot cell is a SUMIFS over the Open Invoices sheet.</t>
        </is>
      </c>
    </row>
    <row r="5">
      <c r="A5" s="5" t="inlineStr">
        <is>
          <t>Customer</t>
        </is>
      </c>
      <c r="B5" s="6" t="inlineStr">
        <is>
          <t>Current</t>
        </is>
      </c>
      <c r="C5" s="6" t="inlineStr">
        <is>
          <t>1-30</t>
        </is>
      </c>
      <c r="D5" s="6" t="inlineStr">
        <is>
          <t>31-60</t>
        </is>
      </c>
      <c r="E5" s="6" t="inlineStr">
        <is>
          <t>61-90</t>
        </is>
      </c>
      <c r="F5" s="6" t="inlineStr">
        <is>
          <t>90+</t>
        </is>
      </c>
      <c r="G5" s="6" t="inlineStr">
        <is>
          <t>Total</t>
        </is>
      </c>
    </row>
    <row r="6">
      <c r="A6" s="7" t="inlineStr">
        <is>
          <t>Yizrael Import Ltd</t>
        </is>
      </c>
      <c r="B6" s="8">
        <f>SUMIFS('Open Invoices'!$H:$H,'Open Invoices'!$B:$B,$A6,'Open Invoices'!$G:$G,B$5)</f>
        <v>88200</v>
      </c>
      <c r="C6" s="8">
        <f>SUMIFS('Open Invoices'!$H:$H,'Open Invoices'!$B:$B,$A6,'Open Invoices'!$G:$G,C$5)</f>
        <v>0</v>
      </c>
      <c r="D6" s="8">
        <f>SUMIFS('Open Invoices'!$H:$H,'Open Invoices'!$B:$B,$A6,'Open Invoices'!$G:$G,D$5)</f>
        <v>0</v>
      </c>
      <c r="E6" s="8">
        <f>SUMIFS('Open Invoices'!$H:$H,'Open Invoices'!$B:$B,$A6,'Open Invoices'!$G:$G,E$5)</f>
        <v>0</v>
      </c>
      <c r="F6" s="8">
        <f>SUMIFS('Open Invoices'!$H:$H,'Open Invoices'!$B:$B,$A6,'Open Invoices'!$G:$G,F$5)</f>
        <v>1411020</v>
      </c>
      <c r="G6" s="9">
        <f>SUM(B6:F6)</f>
        <v>1499220</v>
      </c>
    </row>
    <row r="7">
      <c r="A7" s="7" t="inlineStr">
        <is>
          <t>Emek Systems Ltd</t>
        </is>
      </c>
      <c r="B7" s="8">
        <f>SUMIFS('Open Invoices'!$H:$H,'Open Invoices'!$B:$B,$A7,'Open Invoices'!$G:$G,B$5)</f>
        <v>1442670</v>
      </c>
      <c r="C7" s="8">
        <f>SUMIFS('Open Invoices'!$H:$H,'Open Invoices'!$B:$B,$A7,'Open Invoices'!$G:$G,C$5)</f>
        <v>0</v>
      </c>
      <c r="D7" s="8">
        <f>SUMIFS('Open Invoices'!$H:$H,'Open Invoices'!$B:$B,$A7,'Open Invoices'!$G:$G,D$5)</f>
        <v>0</v>
      </c>
      <c r="E7" s="8">
        <f>SUMIFS('Open Invoices'!$H:$H,'Open Invoices'!$B:$B,$A7,'Open Invoices'!$G:$G,E$5)</f>
        <v>0</v>
      </c>
      <c r="F7" s="8">
        <f>SUMIFS('Open Invoices'!$H:$H,'Open Invoices'!$B:$B,$A7,'Open Invoices'!$G:$G,F$5)</f>
        <v>0</v>
      </c>
      <c r="G7" s="9">
        <f>SUM(B7:F7)</f>
        <v>1442670</v>
      </c>
    </row>
    <row r="8">
      <c r="A8" s="7" t="inlineStr">
        <is>
          <t>Ramon Plastics Ltd</t>
        </is>
      </c>
      <c r="B8" s="8">
        <f>SUMIFS('Open Invoices'!$H:$H,'Open Invoices'!$B:$B,$A8,'Open Invoices'!$G:$G,B$5)</f>
        <v>1189350</v>
      </c>
      <c r="C8" s="8">
        <f>SUMIFS('Open Invoices'!$H:$H,'Open Invoices'!$B:$B,$A8,'Open Invoices'!$G:$G,C$5)</f>
        <v>0</v>
      </c>
      <c r="D8" s="8">
        <f>SUMIFS('Open Invoices'!$H:$H,'Open Invoices'!$B:$B,$A8,'Open Invoices'!$G:$G,D$5)</f>
        <v>0</v>
      </c>
      <c r="E8" s="8">
        <f>SUMIFS('Open Invoices'!$H:$H,'Open Invoices'!$B:$B,$A8,'Open Invoices'!$G:$G,E$5)</f>
        <v>0</v>
      </c>
      <c r="F8" s="8">
        <f>SUMIFS('Open Invoices'!$H:$H,'Open Invoices'!$B:$B,$A8,'Open Invoices'!$G:$G,F$5)</f>
        <v>0</v>
      </c>
      <c r="G8" s="9">
        <f>SUM(B8:F8)</f>
        <v>1189350</v>
      </c>
    </row>
    <row r="9">
      <c r="A9" s="7" t="inlineStr">
        <is>
          <t>Tavor Distribution Ltd</t>
        </is>
      </c>
      <c r="B9" s="8">
        <f>SUMIFS('Open Invoices'!$H:$H,'Open Invoices'!$B:$B,$A9,'Open Invoices'!$G:$G,B$5)</f>
        <v>0</v>
      </c>
      <c r="C9" s="8">
        <f>SUMIFS('Open Invoices'!$H:$H,'Open Invoices'!$B:$B,$A9,'Open Invoices'!$G:$G,C$5)</f>
        <v>0</v>
      </c>
      <c r="D9" s="8">
        <f>SUMIFS('Open Invoices'!$H:$H,'Open Invoices'!$B:$B,$A9,'Open Invoices'!$G:$G,D$5)</f>
        <v>0</v>
      </c>
      <c r="E9" s="8">
        <f>SUMIFS('Open Invoices'!$H:$H,'Open Invoices'!$B:$B,$A9,'Open Invoices'!$G:$G,E$5)</f>
        <v>0</v>
      </c>
      <c r="F9" s="8">
        <f>SUMIFS('Open Invoices'!$H:$H,'Open Invoices'!$B:$B,$A9,'Open Invoices'!$G:$G,F$5)</f>
        <v>807840</v>
      </c>
      <c r="G9" s="9">
        <f>SUM(B9:F9)</f>
        <v>807840</v>
      </c>
    </row>
    <row r="10">
      <c r="A10" s="7" t="inlineStr">
        <is>
          <t>Negev Foods Ltd</t>
        </is>
      </c>
      <c r="B10" s="8">
        <f>SUMIFS('Open Invoices'!$H:$H,'Open Invoices'!$B:$B,$A10,'Open Invoices'!$G:$G,B$5)</f>
        <v>0</v>
      </c>
      <c r="C10" s="8">
        <f>SUMIFS('Open Invoices'!$H:$H,'Open Invoices'!$B:$B,$A10,'Open Invoices'!$G:$G,C$5)</f>
        <v>0</v>
      </c>
      <c r="D10" s="8">
        <f>SUMIFS('Open Invoices'!$H:$H,'Open Invoices'!$B:$B,$A10,'Open Invoices'!$G:$G,D$5)</f>
        <v>0</v>
      </c>
      <c r="E10" s="8">
        <f>SUMIFS('Open Invoices'!$H:$H,'Open Invoices'!$B:$B,$A10,'Open Invoices'!$G:$G,E$5)</f>
        <v>0</v>
      </c>
      <c r="F10" s="8">
        <f>SUMIFS('Open Invoices'!$H:$H,'Open Invoices'!$B:$B,$A10,'Open Invoices'!$G:$G,F$5)</f>
        <v>636930</v>
      </c>
      <c r="G10" s="9">
        <f>SUM(B10:F10)</f>
        <v>636930</v>
      </c>
    </row>
    <row r="11">
      <c r="A11" s="7" t="inlineStr">
        <is>
          <t>Arava Steel Ltd</t>
        </is>
      </c>
      <c r="B11" s="8">
        <f>SUMIFS('Open Invoices'!$H:$H,'Open Invoices'!$B:$B,$A11,'Open Invoices'!$G:$G,B$5)</f>
        <v>29750</v>
      </c>
      <c r="C11" s="8">
        <f>SUMIFS('Open Invoices'!$H:$H,'Open Invoices'!$B:$B,$A11,'Open Invoices'!$G:$G,C$5)</f>
        <v>0</v>
      </c>
      <c r="D11" s="8">
        <f>SUMIFS('Open Invoices'!$H:$H,'Open Invoices'!$B:$B,$A11,'Open Invoices'!$G:$G,D$5)</f>
        <v>0</v>
      </c>
      <c r="E11" s="8">
        <f>SUMIFS('Open Invoices'!$H:$H,'Open Invoices'!$B:$B,$A11,'Open Invoices'!$G:$G,E$5)</f>
        <v>0</v>
      </c>
      <c r="F11" s="8">
        <f>SUMIFS('Open Invoices'!$H:$H,'Open Invoices'!$B:$B,$A11,'Open Invoices'!$G:$G,F$5)</f>
        <v>374205</v>
      </c>
      <c r="G11" s="9">
        <f>SUM(B11:F11)</f>
        <v>403955</v>
      </c>
    </row>
    <row r="12">
      <c r="A12" s="7" t="inlineStr">
        <is>
          <t>Ayalon Agro Ltd</t>
        </is>
      </c>
      <c r="B12" s="8">
        <f>SUMIFS('Open Invoices'!$H:$H,'Open Invoices'!$B:$B,$A12,'Open Invoices'!$G:$G,B$5)</f>
        <v>0</v>
      </c>
      <c r="C12" s="8">
        <f>SUMIFS('Open Invoices'!$H:$H,'Open Invoices'!$B:$B,$A12,'Open Invoices'!$G:$G,C$5)</f>
        <v>0</v>
      </c>
      <c r="D12" s="8">
        <f>SUMIFS('Open Invoices'!$H:$H,'Open Invoices'!$B:$B,$A12,'Open Invoices'!$G:$G,D$5)</f>
        <v>0</v>
      </c>
      <c r="E12" s="8">
        <f>SUMIFS('Open Invoices'!$H:$H,'Open Invoices'!$B:$B,$A12,'Open Invoices'!$G:$G,E$5)</f>
        <v>0</v>
      </c>
      <c r="F12" s="8">
        <f>SUMIFS('Open Invoices'!$H:$H,'Open Invoices'!$B:$B,$A12,'Open Invoices'!$G:$G,F$5)</f>
        <v>398430</v>
      </c>
      <c r="G12" s="9">
        <f>SUM(B12:F12)</f>
        <v>398430</v>
      </c>
    </row>
    <row r="13">
      <c r="A13" s="7" t="inlineStr">
        <is>
          <t>Galil Plastics Ltd</t>
        </is>
      </c>
      <c r="B13" s="8">
        <f>SUMIFS('Open Invoices'!$H:$H,'Open Invoices'!$B:$B,$A13,'Open Invoices'!$G:$G,B$5)</f>
        <v>84420</v>
      </c>
      <c r="C13" s="8">
        <f>SUMIFS('Open Invoices'!$H:$H,'Open Invoices'!$B:$B,$A13,'Open Invoices'!$G:$G,C$5)</f>
        <v>0</v>
      </c>
      <c r="D13" s="8">
        <f>SUMIFS('Open Invoices'!$H:$H,'Open Invoices'!$B:$B,$A13,'Open Invoices'!$G:$G,D$5)</f>
        <v>0</v>
      </c>
      <c r="E13" s="8">
        <f>SUMIFS('Open Invoices'!$H:$H,'Open Invoices'!$B:$B,$A13,'Open Invoices'!$G:$G,E$5)</f>
        <v>0</v>
      </c>
      <c r="F13" s="8">
        <f>SUMIFS('Open Invoices'!$H:$H,'Open Invoices'!$B:$B,$A13,'Open Invoices'!$G:$G,F$5)</f>
        <v>131670</v>
      </c>
      <c r="G13" s="9">
        <f>SUM(B13:F13)</f>
        <v>216090</v>
      </c>
    </row>
    <row r="14">
      <c r="A14" s="7" t="inlineStr">
        <is>
          <t>Ramon Logistics Ltd</t>
        </is>
      </c>
      <c r="B14" s="8">
        <f>SUMIFS('Open Invoices'!$H:$H,'Open Invoices'!$B:$B,$A14,'Open Invoices'!$G:$G,B$5)</f>
        <v>0</v>
      </c>
      <c r="C14" s="8">
        <f>SUMIFS('Open Invoices'!$H:$H,'Open Invoices'!$B:$B,$A14,'Open Invoices'!$G:$G,C$5)</f>
        <v>0</v>
      </c>
      <c r="D14" s="8">
        <f>SUMIFS('Open Invoices'!$H:$H,'Open Invoices'!$B:$B,$A14,'Open Invoices'!$G:$G,D$5)</f>
        <v>0</v>
      </c>
      <c r="E14" s="8">
        <f>SUMIFS('Open Invoices'!$H:$H,'Open Invoices'!$B:$B,$A14,'Open Invoices'!$G:$G,E$5)</f>
        <v>0</v>
      </c>
      <c r="F14" s="8">
        <f>SUMIFS('Open Invoices'!$H:$H,'Open Invoices'!$B:$B,$A14,'Open Invoices'!$G:$G,F$5)</f>
        <v>208320</v>
      </c>
      <c r="G14" s="9">
        <f>SUM(B14:F14)</f>
        <v>208320</v>
      </c>
    </row>
    <row r="15">
      <c r="A15" s="7" t="inlineStr">
        <is>
          <t>Yizrael Print Ltd</t>
        </is>
      </c>
      <c r="B15" s="8">
        <f>SUMIFS('Open Invoices'!$H:$H,'Open Invoices'!$B:$B,$A15,'Open Invoices'!$G:$G,B$5)</f>
        <v>0</v>
      </c>
      <c r="C15" s="8">
        <f>SUMIFS('Open Invoices'!$H:$H,'Open Invoices'!$B:$B,$A15,'Open Invoices'!$G:$G,C$5)</f>
        <v>0</v>
      </c>
      <c r="D15" s="8">
        <f>SUMIFS('Open Invoices'!$H:$H,'Open Invoices'!$B:$B,$A15,'Open Invoices'!$G:$G,D$5)</f>
        <v>0</v>
      </c>
      <c r="E15" s="8">
        <f>SUMIFS('Open Invoices'!$H:$H,'Open Invoices'!$B:$B,$A15,'Open Invoices'!$G:$G,E$5)</f>
        <v>0</v>
      </c>
      <c r="F15" s="8">
        <f>SUMIFS('Open Invoices'!$H:$H,'Open Invoices'!$B:$B,$A15,'Open Invoices'!$G:$G,F$5)</f>
        <v>148770</v>
      </c>
      <c r="G15" s="9">
        <f>SUM(B15:F15)</f>
        <v>148770</v>
      </c>
    </row>
    <row r="16">
      <c r="A16" s="7" t="inlineStr">
        <is>
          <t>Sharon Marble Ltd</t>
        </is>
      </c>
      <c r="B16" s="8">
        <f>SUMIFS('Open Invoices'!$H:$H,'Open Invoices'!$B:$B,$A16,'Open Invoices'!$G:$G,B$5)</f>
        <v>0</v>
      </c>
      <c r="C16" s="8">
        <f>SUMIFS('Open Invoices'!$H:$H,'Open Invoices'!$B:$B,$A16,'Open Invoices'!$G:$G,C$5)</f>
        <v>0</v>
      </c>
      <c r="D16" s="8">
        <f>SUMIFS('Open Invoices'!$H:$H,'Open Invoices'!$B:$B,$A16,'Open Invoices'!$G:$G,D$5)</f>
        <v>16830</v>
      </c>
      <c r="E16" s="8">
        <f>SUMIFS('Open Invoices'!$H:$H,'Open Invoices'!$B:$B,$A16,'Open Invoices'!$G:$G,E$5)</f>
        <v>0</v>
      </c>
      <c r="F16" s="8">
        <f>SUMIFS('Open Invoices'!$H:$H,'Open Invoices'!$B:$B,$A16,'Open Invoices'!$G:$G,F$5)</f>
        <v>115830</v>
      </c>
      <c r="G16" s="9">
        <f>SUM(B16:F16)</f>
        <v>132660</v>
      </c>
    </row>
    <row r="17">
      <c r="A17" s="7" t="inlineStr">
        <is>
          <t>Negev Agro Ltd</t>
        </is>
      </c>
      <c r="B17" s="8">
        <f>SUMIFS('Open Invoices'!$H:$H,'Open Invoices'!$B:$B,$A17,'Open Invoices'!$G:$G,B$5)</f>
        <v>0</v>
      </c>
      <c r="C17" s="8">
        <f>SUMIFS('Open Invoices'!$H:$H,'Open Invoices'!$B:$B,$A17,'Open Invoices'!$G:$G,C$5)</f>
        <v>0</v>
      </c>
      <c r="D17" s="8">
        <f>SUMIFS('Open Invoices'!$H:$H,'Open Invoices'!$B:$B,$A17,'Open Invoices'!$G:$G,D$5)</f>
        <v>0</v>
      </c>
      <c r="E17" s="8">
        <f>SUMIFS('Open Invoices'!$H:$H,'Open Invoices'!$B:$B,$A17,'Open Invoices'!$G:$G,E$5)</f>
        <v>0</v>
      </c>
      <c r="F17" s="8">
        <f>SUMIFS('Open Invoices'!$H:$H,'Open Invoices'!$B:$B,$A17,'Open Invoices'!$G:$G,F$5)</f>
        <v>108000</v>
      </c>
      <c r="G17" s="9">
        <f>SUM(B17:F17)</f>
        <v>108000</v>
      </c>
    </row>
    <row r="18">
      <c r="A18" s="7" t="inlineStr">
        <is>
          <t>Bashan Motors Ltd</t>
        </is>
      </c>
      <c r="B18" s="8">
        <f>SUMIFS('Open Invoices'!$H:$H,'Open Invoices'!$B:$B,$A18,'Open Invoices'!$G:$G,B$5)</f>
        <v>0</v>
      </c>
      <c r="C18" s="8">
        <f>SUMIFS('Open Invoices'!$H:$H,'Open Invoices'!$B:$B,$A18,'Open Invoices'!$G:$G,C$5)</f>
        <v>0</v>
      </c>
      <c r="D18" s="8">
        <f>SUMIFS('Open Invoices'!$H:$H,'Open Invoices'!$B:$B,$A18,'Open Invoices'!$G:$G,D$5)</f>
        <v>0</v>
      </c>
      <c r="E18" s="8">
        <f>SUMIFS('Open Invoices'!$H:$H,'Open Invoices'!$B:$B,$A18,'Open Invoices'!$G:$G,E$5)</f>
        <v>0</v>
      </c>
      <c r="F18" s="8">
        <f>SUMIFS('Open Invoices'!$H:$H,'Open Invoices'!$B:$B,$A18,'Open Invoices'!$G:$G,F$5)</f>
        <v>86445</v>
      </c>
      <c r="G18" s="9">
        <f>SUM(B18:F18)</f>
        <v>86445</v>
      </c>
    </row>
    <row r="19">
      <c r="A19" s="7" t="inlineStr">
        <is>
          <t>Arava Motors Ltd</t>
        </is>
      </c>
      <c r="B19" s="8">
        <f>SUMIFS('Open Invoices'!$H:$H,'Open Invoices'!$B:$B,$A19,'Open Invoices'!$G:$G,B$5)</f>
        <v>63540</v>
      </c>
      <c r="C19" s="8">
        <f>SUMIFS('Open Invoices'!$H:$H,'Open Invoices'!$B:$B,$A19,'Open Invoices'!$G:$G,C$5)</f>
        <v>0</v>
      </c>
      <c r="D19" s="8">
        <f>SUMIFS('Open Invoices'!$H:$H,'Open Invoices'!$B:$B,$A19,'Open Invoices'!$G:$G,D$5)</f>
        <v>0</v>
      </c>
      <c r="E19" s="8">
        <f>SUMIFS('Open Invoices'!$H:$H,'Open Invoices'!$B:$B,$A19,'Open Invoices'!$G:$G,E$5)</f>
        <v>0</v>
      </c>
      <c r="F19" s="8">
        <f>SUMIFS('Open Invoices'!$H:$H,'Open Invoices'!$B:$B,$A19,'Open Invoices'!$G:$G,F$5)</f>
        <v>15725</v>
      </c>
      <c r="G19" s="9">
        <f>SUM(B19:F19)</f>
        <v>79265</v>
      </c>
    </row>
    <row r="20">
      <c r="A20" s="7" t="inlineStr">
        <is>
          <t>Lachish Logistics Ltd</t>
        </is>
      </c>
      <c r="B20" s="8">
        <f>SUMIFS('Open Invoices'!$H:$H,'Open Invoices'!$B:$B,$A20,'Open Invoices'!$G:$G,B$5)</f>
        <v>75360</v>
      </c>
      <c r="C20" s="8">
        <f>SUMIFS('Open Invoices'!$H:$H,'Open Invoices'!$B:$B,$A20,'Open Invoices'!$G:$G,C$5)</f>
        <v>0</v>
      </c>
      <c r="D20" s="8">
        <f>SUMIFS('Open Invoices'!$H:$H,'Open Invoices'!$B:$B,$A20,'Open Invoices'!$G:$G,D$5)</f>
        <v>0</v>
      </c>
      <c r="E20" s="8">
        <f>SUMIFS('Open Invoices'!$H:$H,'Open Invoices'!$B:$B,$A20,'Open Invoices'!$G:$G,E$5)</f>
        <v>0</v>
      </c>
      <c r="F20" s="8">
        <f>SUMIFS('Open Invoices'!$H:$H,'Open Invoices'!$B:$B,$A20,'Open Invoices'!$G:$G,F$5)</f>
        <v>0</v>
      </c>
      <c r="G20" s="9">
        <f>SUM(B20:F20)</f>
        <v>75360</v>
      </c>
    </row>
    <row r="21">
      <c r="A21" s="7" t="inlineStr">
        <is>
          <t>Golan Industries Ltd</t>
        </is>
      </c>
      <c r="B21" s="8">
        <f>SUMIFS('Open Invoices'!$H:$H,'Open Invoices'!$B:$B,$A21,'Open Invoices'!$G:$G,B$5)</f>
        <v>0</v>
      </c>
      <c r="C21" s="8">
        <f>SUMIFS('Open Invoices'!$H:$H,'Open Invoices'!$B:$B,$A21,'Open Invoices'!$G:$G,C$5)</f>
        <v>0</v>
      </c>
      <c r="D21" s="8">
        <f>SUMIFS('Open Invoices'!$H:$H,'Open Invoices'!$B:$B,$A21,'Open Invoices'!$G:$G,D$5)</f>
        <v>51595</v>
      </c>
      <c r="E21" s="8">
        <f>SUMIFS('Open Invoices'!$H:$H,'Open Invoices'!$B:$B,$A21,'Open Invoices'!$G:$G,E$5)</f>
        <v>0</v>
      </c>
      <c r="F21" s="8">
        <f>SUMIFS('Open Invoices'!$H:$H,'Open Invoices'!$B:$B,$A21,'Open Invoices'!$G:$G,F$5)</f>
        <v>20145</v>
      </c>
      <c r="G21" s="9">
        <f>SUM(B21:F21)</f>
        <v>71740</v>
      </c>
    </row>
    <row r="22">
      <c r="A22" s="7" t="inlineStr">
        <is>
          <t>Yarden Marble Ltd</t>
        </is>
      </c>
      <c r="B22" s="8">
        <f>SUMIFS('Open Invoices'!$H:$H,'Open Invoices'!$B:$B,$A22,'Open Invoices'!$G:$G,B$5)</f>
        <v>59925</v>
      </c>
      <c r="C22" s="8">
        <f>SUMIFS('Open Invoices'!$H:$H,'Open Invoices'!$B:$B,$A22,'Open Invoices'!$G:$G,C$5)</f>
        <v>0</v>
      </c>
      <c r="D22" s="8">
        <f>SUMIFS('Open Invoices'!$H:$H,'Open Invoices'!$B:$B,$A22,'Open Invoices'!$G:$G,D$5)</f>
        <v>0</v>
      </c>
      <c r="E22" s="8">
        <f>SUMIFS('Open Invoices'!$H:$H,'Open Invoices'!$B:$B,$A22,'Open Invoices'!$G:$G,E$5)</f>
        <v>0</v>
      </c>
      <c r="F22" s="8">
        <f>SUMIFS('Open Invoices'!$H:$H,'Open Invoices'!$B:$B,$A22,'Open Invoices'!$G:$G,F$5)</f>
        <v>0</v>
      </c>
      <c r="G22" s="9">
        <f>SUM(B22:F22)</f>
        <v>59925</v>
      </c>
    </row>
    <row r="23">
      <c r="A23" s="7" t="inlineStr">
        <is>
          <t>Ayalon Materials Ltd</t>
        </is>
      </c>
      <c r="B23" s="8">
        <f>SUMIFS('Open Invoices'!$H:$H,'Open Invoices'!$B:$B,$A23,'Open Invoices'!$G:$G,B$5)</f>
        <v>0</v>
      </c>
      <c r="C23" s="8">
        <f>SUMIFS('Open Invoices'!$H:$H,'Open Invoices'!$B:$B,$A23,'Open Invoices'!$G:$G,C$5)</f>
        <v>0</v>
      </c>
      <c r="D23" s="8">
        <f>SUMIFS('Open Invoices'!$H:$H,'Open Invoices'!$B:$B,$A23,'Open Invoices'!$G:$G,D$5)</f>
        <v>44370</v>
      </c>
      <c r="E23" s="8">
        <f>SUMIFS('Open Invoices'!$H:$H,'Open Invoices'!$B:$B,$A23,'Open Invoices'!$G:$G,E$5)</f>
        <v>0</v>
      </c>
      <c r="F23" s="8">
        <f>SUMIFS('Open Invoices'!$H:$H,'Open Invoices'!$B:$B,$A23,'Open Invoices'!$G:$G,F$5)</f>
        <v>0</v>
      </c>
      <c r="G23" s="9">
        <f>SUM(B23:F23)</f>
        <v>44370</v>
      </c>
    </row>
    <row r="24">
      <c r="A24" s="7" t="inlineStr">
        <is>
          <t>Sharon Distribution Ltd</t>
        </is>
      </c>
      <c r="B24" s="8">
        <f>SUMIFS('Open Invoices'!$H:$H,'Open Invoices'!$B:$B,$A24,'Open Invoices'!$G:$G,B$5)</f>
        <v>0</v>
      </c>
      <c r="C24" s="8">
        <f>SUMIFS('Open Invoices'!$H:$H,'Open Invoices'!$B:$B,$A24,'Open Invoices'!$G:$G,C$5)</f>
        <v>0</v>
      </c>
      <c r="D24" s="8">
        <f>SUMIFS('Open Invoices'!$H:$H,'Open Invoices'!$B:$B,$A24,'Open Invoices'!$G:$G,D$5)</f>
        <v>0</v>
      </c>
      <c r="E24" s="8">
        <f>SUMIFS('Open Invoices'!$H:$H,'Open Invoices'!$B:$B,$A24,'Open Invoices'!$G:$G,E$5)</f>
        <v>0</v>
      </c>
      <c r="F24" s="8">
        <f>SUMIFS('Open Invoices'!$H:$H,'Open Invoices'!$B:$B,$A24,'Open Invoices'!$G:$G,F$5)</f>
        <v>42000</v>
      </c>
      <c r="G24" s="9">
        <f>SUM(B24:F24)</f>
        <v>42000</v>
      </c>
    </row>
    <row r="25">
      <c r="A25" s="7" t="inlineStr">
        <is>
          <t>Lachish Agro Ltd</t>
        </is>
      </c>
      <c r="B25" s="8">
        <f>SUMIFS('Open Invoices'!$H:$H,'Open Invoices'!$B:$B,$A25,'Open Invoices'!$G:$G,B$5)</f>
        <v>18810</v>
      </c>
      <c r="C25" s="8">
        <f>SUMIFS('Open Invoices'!$H:$H,'Open Invoices'!$B:$B,$A25,'Open Invoices'!$G:$G,C$5)</f>
        <v>0</v>
      </c>
      <c r="D25" s="8">
        <f>SUMIFS('Open Invoices'!$H:$H,'Open Invoices'!$B:$B,$A25,'Open Invoices'!$G:$G,D$5)</f>
        <v>0</v>
      </c>
      <c r="E25" s="8">
        <f>SUMIFS('Open Invoices'!$H:$H,'Open Invoices'!$B:$B,$A25,'Open Invoices'!$G:$G,E$5)</f>
        <v>0</v>
      </c>
      <c r="F25" s="8">
        <f>SUMIFS('Open Invoices'!$H:$H,'Open Invoices'!$B:$B,$A25,'Open Invoices'!$G:$G,F$5)</f>
        <v>0</v>
      </c>
      <c r="G25" s="9">
        <f>SUM(B25:F25)</f>
        <v>18810</v>
      </c>
    </row>
    <row r="26">
      <c r="A26" s="10" t="inlineStr">
        <is>
          <t>Total · 20 customers</t>
        </is>
      </c>
      <c r="B26" s="11">
        <f>SUM(B6:B25)</f>
        <v>3052025</v>
      </c>
      <c r="C26" s="11">
        <f>SUM(C6:C25)</f>
        <v>0</v>
      </c>
      <c r="D26" s="11">
        <f>SUM(D6:D25)</f>
        <v>112795</v>
      </c>
      <c r="E26" s="11">
        <f>SUM(E6:E25)</f>
        <v>0</v>
      </c>
      <c r="F26" s="11">
        <f>SUM(F6:F25)</f>
        <v>4505330</v>
      </c>
      <c r="G26" s="11">
        <f>SUM(G6:G25)</f>
        <v>7670150</v>
      </c>
    </row>
    <row r="28">
      <c r="A28" s="4" t="str">
        <f>IF(ABS(G26-SUM('Open Invoices'!$H:$H))&lt;1,"Tie-out OK: pivot total equals the sum of the Open Invoices sheet","TIE-OUT MISMATCH - check formulas")</f>
        <v>Tie-out OK: pivot total equals the sum of the Open Invoices sheet</v>
      </c>
    </row>
  </sheetData>
  <conditionalFormatting sqref="C6:F25">
    <cfRule type="colorScale" priority="1">
      <colorScale>
        <cfvo type="num" val="0"/>
        <cfvo type="max"/>
        <color rgb="00FFFFFF"/>
        <color rgb="00F4B0A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7A5B"/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12" customWidth="1" min="4" max="4"/>
    <col width="12" customWidth="1" min="5" max="5"/>
    <col width="14" customWidth="1" min="6" max="6"/>
    <col width="10" customWidth="1" min="7" max="7"/>
    <col width="17" customWidth="1" min="8" max="8"/>
  </cols>
  <sheetData>
    <row r="1">
      <c r="A1" s="6" t="inlineStr">
        <is>
          <t>Invoice #</t>
        </is>
      </c>
      <c r="B1" s="6" t="inlineStr">
        <is>
          <t>Customer</t>
        </is>
      </c>
      <c r="C1" s="6" t="inlineStr">
        <is>
          <t>Status</t>
        </is>
      </c>
      <c r="D1" s="6" t="inlineStr">
        <is>
          <t>Issue Date</t>
        </is>
      </c>
      <c r="E1" s="6" t="inlineStr">
        <is>
          <t>Due Date</t>
        </is>
      </c>
      <c r="F1" s="6" t="inlineStr">
        <is>
          <t>Days Past Due</t>
        </is>
      </c>
      <c r="G1" s="6" t="inlineStr">
        <is>
          <t>Bucket</t>
        </is>
      </c>
      <c r="H1" s="6" t="inlineStr">
        <is>
          <t>Open Advance (ILS)</t>
        </is>
      </c>
    </row>
    <row r="2">
      <c r="A2" s="12" t="inlineStr">
        <is>
          <t>INV-2025-0010</t>
        </is>
      </c>
      <c r="B2" s="12" t="inlineStr">
        <is>
          <t>Arava Motors Ltd</t>
        </is>
      </c>
      <c r="C2" s="12" t="inlineStr">
        <is>
          <t>Overdue</t>
        </is>
      </c>
      <c r="D2" s="13" t="n">
        <v>45881</v>
      </c>
      <c r="E2" s="13" t="n">
        <v>45911</v>
      </c>
      <c r="F2" s="14">
        <f>AsOfDate-$E2</f>
        <v>308</v>
      </c>
      <c r="G2" s="15" t="str">
        <f>IF($F2&lt;=0,"Current",IF($F2&lt;=30,"1-30",IF($F2&lt;=60,"31-60",IF($F2&lt;=90,"61-90","90+"))))</f>
        <v>90+</v>
      </c>
      <c r="H2" s="16" t="n">
        <v>15725</v>
      </c>
    </row>
    <row r="3">
      <c r="A3" s="12" t="inlineStr">
        <is>
          <t>INV-2026-0011</t>
        </is>
      </c>
      <c r="B3" s="12" t="inlineStr">
        <is>
          <t>Arava Motors Ltd</t>
        </is>
      </c>
      <c r="C3" s="12" t="inlineStr">
        <is>
          <t>Financed</t>
        </is>
      </c>
      <c r="D3" s="13" t="n">
        <v>46205</v>
      </c>
      <c r="E3" s="13" t="n">
        <v>46295</v>
      </c>
      <c r="F3" s="14">
        <f>AsOfDate-$E3</f>
        <v>-76</v>
      </c>
      <c r="G3" s="15" t="str">
        <f>IF($F3&lt;=0,"Current",IF($F3&lt;=30,"1-30",IF($F3&lt;=60,"31-60",IF($F3&lt;=90,"61-90","90+"))))</f>
        <v>Current</v>
      </c>
      <c r="H3" s="16" t="n">
        <v>63540</v>
      </c>
    </row>
    <row r="4">
      <c r="A4" s="12" t="inlineStr">
        <is>
          <t>INV-2025-0163</t>
        </is>
      </c>
      <c r="B4" s="12" t="inlineStr">
        <is>
          <t>Arava Steel Ltd</t>
        </is>
      </c>
      <c r="C4" s="12" t="inlineStr">
        <is>
          <t>Overdue</t>
        </is>
      </c>
      <c r="D4" s="13" t="n">
        <v>45798</v>
      </c>
      <c r="E4" s="13" t="n">
        <v>45858</v>
      </c>
      <c r="F4" s="14">
        <f>AsOfDate-$E4</f>
        <v>361</v>
      </c>
      <c r="G4" s="15" t="str">
        <f>IF($F4&lt;=0,"Current",IF($F4&lt;=30,"1-30",IF($F4&lt;=60,"31-60",IF($F4&lt;=90,"61-90","90+"))))</f>
        <v>90+</v>
      </c>
      <c r="H4" s="16" t="n">
        <v>374205</v>
      </c>
    </row>
    <row r="5">
      <c r="A5" s="12" t="inlineStr">
        <is>
          <t>INV-2026-0134</t>
        </is>
      </c>
      <c r="B5" s="12" t="inlineStr">
        <is>
          <t>Arava Steel Ltd</t>
        </is>
      </c>
      <c r="C5" s="12" t="inlineStr">
        <is>
          <t>Financed</t>
        </is>
      </c>
      <c r="D5" s="13" t="n">
        <v>46201</v>
      </c>
      <c r="E5" s="13" t="n">
        <v>46231</v>
      </c>
      <c r="F5" s="14">
        <f>AsOfDate-$E5</f>
        <v>-12</v>
      </c>
      <c r="G5" s="15" t="str">
        <f>IF($F5&lt;=0,"Current",IF($F5&lt;=30,"1-30",IF($F5&lt;=60,"31-60",IF($F5&lt;=90,"61-90","90+"))))</f>
        <v>Current</v>
      </c>
      <c r="H5" s="16" t="n">
        <v>29750</v>
      </c>
    </row>
    <row r="6">
      <c r="A6" s="12" t="inlineStr">
        <is>
          <t>INV-2025-0170</t>
        </is>
      </c>
      <c r="B6" s="12" t="inlineStr">
        <is>
          <t>Ayalon Agro Ltd</t>
        </is>
      </c>
      <c r="C6" s="12" t="inlineStr">
        <is>
          <t>Overdue</t>
        </is>
      </c>
      <c r="D6" s="13" t="n">
        <v>45686</v>
      </c>
      <c r="E6" s="13" t="n">
        <v>45746</v>
      </c>
      <c r="F6" s="14">
        <f>AsOfDate-$E6</f>
        <v>473</v>
      </c>
      <c r="G6" s="15" t="str">
        <f>IF($F6&lt;=0,"Current",IF($F6&lt;=30,"1-30",IF($F6&lt;=60,"31-60",IF($F6&lt;=90,"61-90","90+"))))</f>
        <v>90+</v>
      </c>
      <c r="H6" s="16" t="n">
        <v>398430</v>
      </c>
    </row>
    <row r="7">
      <c r="A7" s="12" t="inlineStr">
        <is>
          <t>INV-2026-0022</t>
        </is>
      </c>
      <c r="B7" s="12" t="inlineStr">
        <is>
          <t>Ayalon Materials Ltd</t>
        </is>
      </c>
      <c r="C7" s="12" t="inlineStr">
        <is>
          <t>Overdue</t>
        </is>
      </c>
      <c r="D7" s="13" t="n">
        <v>46107</v>
      </c>
      <c r="E7" s="13" t="n">
        <v>46167</v>
      </c>
      <c r="F7" s="14">
        <f>AsOfDate-$E7</f>
        <v>52</v>
      </c>
      <c r="G7" s="15" t="str">
        <f>IF($F7&lt;=0,"Current",IF($F7&lt;=30,"1-30",IF($F7&lt;=60,"31-60",IF($F7&lt;=90,"61-90","90+"))))</f>
        <v>31-60</v>
      </c>
      <c r="H7" s="16" t="n">
        <v>44370</v>
      </c>
    </row>
    <row r="8">
      <c r="A8" s="12" t="inlineStr">
        <is>
          <t>INV-2025-0126</t>
        </is>
      </c>
      <c r="B8" s="12" t="inlineStr">
        <is>
          <t>Bashan Motors Ltd</t>
        </is>
      </c>
      <c r="C8" s="12" t="inlineStr">
        <is>
          <t>Overdue</t>
        </is>
      </c>
      <c r="D8" s="13" t="n">
        <v>45828</v>
      </c>
      <c r="E8" s="13" t="n">
        <v>45888</v>
      </c>
      <c r="F8" s="14">
        <f>AsOfDate-$E8</f>
        <v>331</v>
      </c>
      <c r="G8" s="15" t="str">
        <f>IF($F8&lt;=0,"Current",IF($F8&lt;=30,"1-30",IF($F8&lt;=60,"31-60",IF($F8&lt;=90,"61-90","90+"))))</f>
        <v>90+</v>
      </c>
      <c r="H8" s="16" t="n">
        <v>86445</v>
      </c>
    </row>
    <row r="9">
      <c r="A9" s="12" t="inlineStr">
        <is>
          <t>INV-2026-0038</t>
        </is>
      </c>
      <c r="B9" s="12" t="inlineStr">
        <is>
          <t>Emek Systems Ltd</t>
        </is>
      </c>
      <c r="C9" s="12" t="inlineStr">
        <is>
          <t>Financed</t>
        </is>
      </c>
      <c r="D9" s="13" t="n">
        <v>46202</v>
      </c>
      <c r="E9" s="13" t="n">
        <v>46262</v>
      </c>
      <c r="F9" s="14">
        <f>AsOfDate-$E9</f>
        <v>-43</v>
      </c>
      <c r="G9" s="15" t="str">
        <f>IF($F9&lt;=0,"Current",IF($F9&lt;=30,"1-30",IF($F9&lt;=60,"31-60",IF($F9&lt;=90,"61-90","90+"))))</f>
        <v>Current</v>
      </c>
      <c r="H9" s="16" t="n">
        <v>1442670</v>
      </c>
    </row>
    <row r="10">
      <c r="A10" s="12" t="inlineStr">
        <is>
          <t>INV-2025-0152</t>
        </is>
      </c>
      <c r="B10" s="12" t="inlineStr">
        <is>
          <t>Galil Plastics Ltd</t>
        </is>
      </c>
      <c r="C10" s="12" t="inlineStr">
        <is>
          <t>Overdue</t>
        </is>
      </c>
      <c r="D10" s="13" t="n">
        <v>45928</v>
      </c>
      <c r="E10" s="13" t="n">
        <v>45958</v>
      </c>
      <c r="F10" s="14">
        <f>AsOfDate-$E10</f>
        <v>261</v>
      </c>
      <c r="G10" s="15" t="str">
        <f>IF($F10&lt;=0,"Current",IF($F10&lt;=30,"1-30",IF($F10&lt;=60,"31-60",IF($F10&lt;=90,"61-90","90+"))))</f>
        <v>90+</v>
      </c>
      <c r="H10" s="16" t="n">
        <v>131670</v>
      </c>
    </row>
    <row r="11">
      <c r="A11" s="12" t="inlineStr">
        <is>
          <t>INV-2026-0008</t>
        </is>
      </c>
      <c r="B11" s="12" t="inlineStr">
        <is>
          <t>Galil Plastics Ltd</t>
        </is>
      </c>
      <c r="C11" s="12" t="inlineStr">
        <is>
          <t>Financed</t>
        </is>
      </c>
      <c r="D11" s="13" t="n">
        <v>46167</v>
      </c>
      <c r="E11" s="13" t="n">
        <v>46227</v>
      </c>
      <c r="F11" s="14">
        <f>AsOfDate-$E11</f>
        <v>-8</v>
      </c>
      <c r="G11" s="15" t="str">
        <f>IF($F11&lt;=0,"Current",IF($F11&lt;=30,"1-30",IF($F11&lt;=60,"31-60",IF($F11&lt;=90,"61-90","90+"))))</f>
        <v>Current</v>
      </c>
      <c r="H11" s="16" t="n">
        <v>84420</v>
      </c>
    </row>
    <row r="12">
      <c r="A12" s="12" t="inlineStr">
        <is>
          <t>INV-2025-0146</t>
        </is>
      </c>
      <c r="B12" s="12" t="inlineStr">
        <is>
          <t>Golan Industries Ltd</t>
        </is>
      </c>
      <c r="C12" s="12" t="inlineStr">
        <is>
          <t>Overdue</t>
        </is>
      </c>
      <c r="D12" s="13" t="n">
        <v>45900</v>
      </c>
      <c r="E12" s="13" t="n">
        <v>45930</v>
      </c>
      <c r="F12" s="14">
        <f>AsOfDate-$E12</f>
        <v>289</v>
      </c>
      <c r="G12" s="15" t="str">
        <f>IF($F12&lt;=0,"Current",IF($F12&lt;=30,"1-30",IF($F12&lt;=60,"31-60",IF($F12&lt;=90,"61-90","90+"))))</f>
        <v>90+</v>
      </c>
      <c r="H12" s="16" t="n">
        <v>20145</v>
      </c>
    </row>
    <row r="13">
      <c r="A13" s="12" t="inlineStr">
        <is>
          <t>INV-2026-0142</t>
        </is>
      </c>
      <c r="B13" s="12" t="inlineStr">
        <is>
          <t>Golan Industries Ltd</t>
        </is>
      </c>
      <c r="C13" s="12" t="inlineStr">
        <is>
          <t>Overdue</t>
        </is>
      </c>
      <c r="D13" s="13" t="n">
        <v>46103</v>
      </c>
      <c r="E13" s="13" t="n">
        <v>46163</v>
      </c>
      <c r="F13" s="14">
        <f>AsOfDate-$E13</f>
        <v>56</v>
      </c>
      <c r="G13" s="15" t="str">
        <f>IF($F13&lt;=0,"Current",IF($F13&lt;=30,"1-30",IF($F13&lt;=60,"31-60",IF($F13&lt;=90,"61-90","90+"))))</f>
        <v>31-60</v>
      </c>
      <c r="H13" s="16" t="n">
        <v>51595</v>
      </c>
    </row>
    <row r="14">
      <c r="A14" s="12" t="inlineStr">
        <is>
          <t>INV-2025-0001</t>
        </is>
      </c>
      <c r="B14" s="12" t="inlineStr">
        <is>
          <t>Lachish Agro Ltd</t>
        </is>
      </c>
      <c r="C14" s="12" t="inlineStr">
        <is>
          <t>Financed</t>
        </is>
      </c>
      <c r="D14" s="13" t="n">
        <v>46179</v>
      </c>
      <c r="E14" s="13" t="n">
        <v>46239</v>
      </c>
      <c r="F14" s="14">
        <f>AsOfDate-$E14</f>
        <v>-20</v>
      </c>
      <c r="G14" s="15" t="str">
        <f>IF($F14&lt;=0,"Current",IF($F14&lt;=30,"1-30",IF($F14&lt;=60,"31-60",IF($F14&lt;=90,"61-90","90+"))))</f>
        <v>Current</v>
      </c>
      <c r="H14" s="16" t="n">
        <v>18810</v>
      </c>
    </row>
    <row r="15">
      <c r="A15" s="12" t="inlineStr">
        <is>
          <t>INV-2026-0085</t>
        </is>
      </c>
      <c r="B15" s="12" t="inlineStr">
        <is>
          <t>Lachish Logistics Ltd</t>
        </is>
      </c>
      <c r="C15" s="12" t="inlineStr">
        <is>
          <t>Financed</t>
        </is>
      </c>
      <c r="D15" s="13" t="n">
        <v>46203</v>
      </c>
      <c r="E15" s="13" t="n">
        <v>46293</v>
      </c>
      <c r="F15" s="14">
        <f>AsOfDate-$E15</f>
        <v>-74</v>
      </c>
      <c r="G15" s="15" t="str">
        <f>IF($F15&lt;=0,"Current",IF($F15&lt;=30,"1-30",IF($F15&lt;=60,"31-60",IF($F15&lt;=90,"61-90","90+"))))</f>
        <v>Current</v>
      </c>
      <c r="H15" s="16" t="n">
        <v>75360</v>
      </c>
    </row>
    <row r="16">
      <c r="A16" s="12" t="inlineStr">
        <is>
          <t>INV-2025-0180</t>
        </is>
      </c>
      <c r="B16" s="12" t="inlineStr">
        <is>
          <t>Negev Agro Ltd</t>
        </is>
      </c>
      <c r="C16" s="12" t="inlineStr">
        <is>
          <t>Overdue</t>
        </is>
      </c>
      <c r="D16" s="13" t="n">
        <v>45927</v>
      </c>
      <c r="E16" s="13" t="n">
        <v>46017</v>
      </c>
      <c r="F16" s="14">
        <f>AsOfDate-$E16</f>
        <v>202</v>
      </c>
      <c r="G16" s="15" t="str">
        <f>IF($F16&lt;=0,"Current",IF($F16&lt;=30,"1-30",IF($F16&lt;=60,"31-60",IF($F16&lt;=90,"61-90","90+"))))</f>
        <v>90+</v>
      </c>
      <c r="H16" s="16" t="n">
        <v>108000</v>
      </c>
    </row>
    <row r="17">
      <c r="A17" s="12" t="inlineStr">
        <is>
          <t>INV-2026-0046</t>
        </is>
      </c>
      <c r="B17" s="12" t="inlineStr">
        <is>
          <t>Negev Foods Ltd</t>
        </is>
      </c>
      <c r="C17" s="12" t="inlineStr">
        <is>
          <t>Overdue</t>
        </is>
      </c>
      <c r="D17" s="13" t="n">
        <v>46025</v>
      </c>
      <c r="E17" s="13" t="n">
        <v>46085</v>
      </c>
      <c r="F17" s="14">
        <f>AsOfDate-$E17</f>
        <v>134</v>
      </c>
      <c r="G17" s="15" t="str">
        <f>IF($F17&lt;=0,"Current",IF($F17&lt;=30,"1-30",IF($F17&lt;=60,"31-60",IF($F17&lt;=90,"61-90","90+"))))</f>
        <v>90+</v>
      </c>
      <c r="H17" s="16" t="n">
        <v>636930</v>
      </c>
    </row>
    <row r="18">
      <c r="A18" s="12" t="inlineStr">
        <is>
          <t>INV-2025-0016</t>
        </is>
      </c>
      <c r="B18" s="12" t="inlineStr">
        <is>
          <t>Ramon Logistics Ltd</t>
        </is>
      </c>
      <c r="C18" s="12" t="inlineStr">
        <is>
          <t>Overdue</t>
        </is>
      </c>
      <c r="D18" s="13" t="n">
        <v>45991</v>
      </c>
      <c r="E18" s="13" t="n">
        <v>46051</v>
      </c>
      <c r="F18" s="14">
        <f>AsOfDate-$E18</f>
        <v>168</v>
      </c>
      <c r="G18" s="15" t="str">
        <f>IF($F18&lt;=0,"Current",IF($F18&lt;=30,"1-30",IF($F18&lt;=60,"31-60",IF($F18&lt;=90,"61-90","90+"))))</f>
        <v>90+</v>
      </c>
      <c r="H18" s="16" t="n">
        <v>208320</v>
      </c>
    </row>
    <row r="19">
      <c r="A19" s="12" t="inlineStr">
        <is>
          <t>INV-2026-0023</t>
        </is>
      </c>
      <c r="B19" s="12" t="inlineStr">
        <is>
          <t>Ramon Plastics Ltd</t>
        </is>
      </c>
      <c r="C19" s="12" t="inlineStr">
        <is>
          <t>Financed</t>
        </is>
      </c>
      <c r="D19" s="13" t="n">
        <v>46159</v>
      </c>
      <c r="E19" s="13" t="n">
        <v>46249</v>
      </c>
      <c r="F19" s="14">
        <f>AsOfDate-$E19</f>
        <v>-30</v>
      </c>
      <c r="G19" s="15" t="str">
        <f>IF($F19&lt;=0,"Current",IF($F19&lt;=30,"1-30",IF($F19&lt;=60,"31-60",IF($F19&lt;=90,"61-90","90+"))))</f>
        <v>Current</v>
      </c>
      <c r="H19" s="16" t="n">
        <v>1189350</v>
      </c>
    </row>
    <row r="20">
      <c r="A20" s="12" t="inlineStr">
        <is>
          <t>INV-2025-0139</t>
        </is>
      </c>
      <c r="B20" s="12" t="inlineStr">
        <is>
          <t>Sharon Distribution Ltd</t>
        </is>
      </c>
      <c r="C20" s="12" t="inlineStr">
        <is>
          <t>Overdue</t>
        </is>
      </c>
      <c r="D20" s="13" t="n">
        <v>45894</v>
      </c>
      <c r="E20" s="13" t="n">
        <v>45954</v>
      </c>
      <c r="F20" s="14">
        <f>AsOfDate-$E20</f>
        <v>265</v>
      </c>
      <c r="G20" s="15" t="str">
        <f>IF($F20&lt;=0,"Current",IF($F20&lt;=30,"1-30",IF($F20&lt;=60,"31-60",IF($F20&lt;=90,"61-90","90+"))))</f>
        <v>90+</v>
      </c>
      <c r="H20" s="16" t="n">
        <v>42000</v>
      </c>
    </row>
    <row r="21">
      <c r="A21" s="12" t="inlineStr">
        <is>
          <t>INV-2025-0078</t>
        </is>
      </c>
      <c r="B21" s="12" t="inlineStr">
        <is>
          <t>Sharon Marble Ltd</t>
        </is>
      </c>
      <c r="C21" s="12" t="inlineStr">
        <is>
          <t>Overdue</t>
        </is>
      </c>
      <c r="D21" s="13" t="n">
        <v>45730</v>
      </c>
      <c r="E21" s="13" t="n">
        <v>45760</v>
      </c>
      <c r="F21" s="14">
        <f>AsOfDate-$E21</f>
        <v>459</v>
      </c>
      <c r="G21" s="15" t="str">
        <f>IF($F21&lt;=0,"Current",IF($F21&lt;=30,"1-30",IF($F21&lt;=60,"31-60",IF($F21&lt;=90,"61-90","90+"))))</f>
        <v>90+</v>
      </c>
      <c r="H21" s="16" t="n">
        <v>115830</v>
      </c>
    </row>
    <row r="22">
      <c r="A22" s="12" t="inlineStr">
        <is>
          <t>INV-2026-0045</t>
        </is>
      </c>
      <c r="B22" s="12" t="inlineStr">
        <is>
          <t>Sharon Marble Ltd</t>
        </is>
      </c>
      <c r="C22" s="12" t="inlineStr">
        <is>
          <t>Overdue</t>
        </is>
      </c>
      <c r="D22" s="13" t="n">
        <v>46133</v>
      </c>
      <c r="E22" s="13" t="n">
        <v>46163</v>
      </c>
      <c r="F22" s="14">
        <f>AsOfDate-$E22</f>
        <v>56</v>
      </c>
      <c r="G22" s="15" t="str">
        <f>IF($F22&lt;=0,"Current",IF($F22&lt;=30,"1-30",IF($F22&lt;=60,"31-60",IF($F22&lt;=90,"61-90","90+"))))</f>
        <v>31-60</v>
      </c>
      <c r="H22" s="16" t="n">
        <v>16830</v>
      </c>
    </row>
    <row r="23">
      <c r="A23" s="12" t="inlineStr">
        <is>
          <t>INV-2025-0071</t>
        </is>
      </c>
      <c r="B23" s="12" t="inlineStr">
        <is>
          <t>Tavor Distribution Ltd</t>
        </is>
      </c>
      <c r="C23" s="12" t="inlineStr">
        <is>
          <t>Overdue</t>
        </is>
      </c>
      <c r="D23" s="13" t="n">
        <v>45815</v>
      </c>
      <c r="E23" s="13" t="n">
        <v>45905</v>
      </c>
      <c r="F23" s="14">
        <f>AsOfDate-$E23</f>
        <v>314</v>
      </c>
      <c r="G23" s="15" t="str">
        <f>IF($F23&lt;=0,"Current",IF($F23&lt;=30,"1-30",IF($F23&lt;=60,"31-60",IF($F23&lt;=90,"61-90","90+"))))</f>
        <v>90+</v>
      </c>
      <c r="H23" s="16" t="n">
        <v>807840</v>
      </c>
    </row>
    <row r="24">
      <c r="A24" s="12" t="inlineStr">
        <is>
          <t>INV-2026-0052</t>
        </is>
      </c>
      <c r="B24" s="12" t="inlineStr">
        <is>
          <t>Yarden Marble Ltd</t>
        </is>
      </c>
      <c r="C24" s="12" t="inlineStr">
        <is>
          <t>Financed</t>
        </is>
      </c>
      <c r="D24" s="13" t="n">
        <v>46202</v>
      </c>
      <c r="E24" s="13" t="n">
        <v>46232</v>
      </c>
      <c r="F24" s="14">
        <f>AsOfDate-$E24</f>
        <v>-13</v>
      </c>
      <c r="G24" s="15" t="str">
        <f>IF($F24&lt;=0,"Current",IF($F24&lt;=30,"1-30",IF($F24&lt;=60,"31-60",IF($F24&lt;=90,"61-90","90+"))))</f>
        <v>Current</v>
      </c>
      <c r="H24" s="16" t="n">
        <v>59925</v>
      </c>
    </row>
    <row r="25">
      <c r="A25" s="12" t="inlineStr">
        <is>
          <t>INV-2025-0089</t>
        </is>
      </c>
      <c r="B25" s="12" t="inlineStr">
        <is>
          <t>Yizrael Import Ltd</t>
        </is>
      </c>
      <c r="C25" s="12" t="inlineStr">
        <is>
          <t>Overdue</t>
        </is>
      </c>
      <c r="D25" s="13" t="n">
        <v>45751</v>
      </c>
      <c r="E25" s="13" t="n">
        <v>45811</v>
      </c>
      <c r="F25" s="14">
        <f>AsOfDate-$E25</f>
        <v>408</v>
      </c>
      <c r="G25" s="15" t="str">
        <f>IF($F25&lt;=0,"Current",IF($F25&lt;=30,"1-30",IF($F25&lt;=60,"31-60",IF($F25&lt;=90,"61-90","90+"))))</f>
        <v>90+</v>
      </c>
      <c r="H25" s="16" t="n">
        <v>1411020</v>
      </c>
    </row>
    <row r="26">
      <c r="A26" s="12" t="inlineStr">
        <is>
          <t>INV-2026-0177</t>
        </is>
      </c>
      <c r="B26" s="12" t="inlineStr">
        <is>
          <t>Yizrael Import Ltd</t>
        </is>
      </c>
      <c r="C26" s="12" t="inlineStr">
        <is>
          <t>Financed</t>
        </is>
      </c>
      <c r="D26" s="13" t="n">
        <v>46159</v>
      </c>
      <c r="E26" s="13" t="n">
        <v>46249</v>
      </c>
      <c r="F26" s="14">
        <f>AsOfDate-$E26</f>
        <v>-30</v>
      </c>
      <c r="G26" s="15" t="str">
        <f>IF($F26&lt;=0,"Current",IF($F26&lt;=30,"1-30",IF($F26&lt;=60,"31-60",IF($F26&lt;=90,"61-90","90+"))))</f>
        <v>Current</v>
      </c>
      <c r="H26" s="16" t="n">
        <v>88200</v>
      </c>
    </row>
    <row r="27">
      <c r="A27" s="12" t="inlineStr">
        <is>
          <t>INV-2025-0144</t>
        </is>
      </c>
      <c r="B27" s="12" t="inlineStr">
        <is>
          <t>Yizrael Print Ltd</t>
        </is>
      </c>
      <c r="C27" s="12" t="inlineStr">
        <is>
          <t>Overdue</t>
        </is>
      </c>
      <c r="D27" s="13" t="n">
        <v>45796</v>
      </c>
      <c r="E27" s="13" t="n">
        <v>45856</v>
      </c>
      <c r="F27" s="14">
        <f>AsOfDate-$E27</f>
        <v>363</v>
      </c>
      <c r="G27" s="15" t="str">
        <f>IF($F27&lt;=0,"Current",IF($F27&lt;=30,"1-30",IF($F27&lt;=60,"31-60",IF($F27&lt;=90,"61-90","90+"))))</f>
        <v>90+</v>
      </c>
      <c r="H27" s="16" t="n">
        <v>148770</v>
      </c>
    </row>
    <row r="29">
      <c r="A29" s="4" t="inlineStr">
        <is>
          <t>Snapshot of the seeded synthetic ledger (30 customers / 180 invoices), open positions only (status Financed or Overdue). Amounts are the outstanding advance in ILS. Source: app.js data generator, https://barbarzilay100-coder.github.io/ar-aging-analysis/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2026-07-16T11:56:46Z</dcterms:created>
  <dcterms:modified xmlns:dcterms="http://purl.org/dc/terms/" xmlns:xsi="http://www.w3.org/2001/XMLSchema-instance" xsi:type="dcterms:W3CDTF">2026-07-16T11:56:46Z</dcterms:modified>
</cp:coreProperties>
</file>